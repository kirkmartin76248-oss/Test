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martin\Documents\"/>
    </mc:Choice>
  </mc:AlternateContent>
  <xr:revisionPtr revIDLastSave="0" documentId="13_ncr:1_{705D309C-C126-40B5-B7A3-5B1DB4E77346}" xr6:coauthVersionLast="47" xr6:coauthVersionMax="47" xr10:uidLastSave="{00000000-0000-0000-0000-000000000000}"/>
  <bookViews>
    <workbookView xWindow="38280" yWindow="-10005" windowWidth="21840" windowHeight="37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79" i="1"/>
  <c r="I78" i="1"/>
  <c r="I77" i="1" l="1"/>
  <c r="I76" i="1" l="1"/>
  <c r="I75" i="1" l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3" i="1"/>
  <c r="I1" i="1" l="1"/>
</calcChain>
</file>

<file path=xl/sharedStrings.xml><?xml version="1.0" encoding="utf-8"?>
<sst xmlns="http://schemas.openxmlformats.org/spreadsheetml/2006/main" count="182" uniqueCount="99">
  <si>
    <t>Item</t>
  </si>
  <si>
    <t>Purchased Date</t>
  </si>
  <si>
    <t>Merchant</t>
  </si>
  <si>
    <t>Piece Price</t>
  </si>
  <si>
    <t>Quantity</t>
  </si>
  <si>
    <t>Total Price</t>
  </si>
  <si>
    <t>Description</t>
  </si>
  <si>
    <t>Part Number</t>
  </si>
  <si>
    <t>Notecarrier X</t>
  </si>
  <si>
    <t>Blues</t>
  </si>
  <si>
    <t>Shipping</t>
  </si>
  <si>
    <t>Notecard Cellular</t>
  </si>
  <si>
    <t>Notecarrier F</t>
  </si>
  <si>
    <t>Swan MCU</t>
  </si>
  <si>
    <t>Flexible Dual Antenna</t>
  </si>
  <si>
    <t>3.3V linear Regulator</t>
  </si>
  <si>
    <t>S-13A1A33-U5T1U3</t>
  </si>
  <si>
    <t>Digikey</t>
  </si>
  <si>
    <t>SOT89-5 DIP-6 Adapter</t>
  </si>
  <si>
    <t>IPC0254</t>
  </si>
  <si>
    <t>SOT23-5 SMD DIP ADAPTER</t>
  </si>
  <si>
    <t>RT9080-33GJ5</t>
  </si>
  <si>
    <t>ABS IP67 ENCLOSURE</t>
  </si>
  <si>
    <t>AMAZON</t>
  </si>
  <si>
    <t>COMPACT LEVER WIRE NUTS 5 I-5O</t>
  </si>
  <si>
    <t>DIN RAIL TERMINAL 5IN-10UT X2</t>
  </si>
  <si>
    <t>COMPACT LEVER WIRE NUTS 3 I-3O</t>
  </si>
  <si>
    <t>E-WEICHAT EW-LP12 CONNECTOR 2-PIN</t>
  </si>
  <si>
    <t>EW-LP12-2</t>
  </si>
  <si>
    <t>E-WEICHAT EW-LP12 CONNECTOR 3-PIN</t>
  </si>
  <si>
    <t>EW-LP12-3</t>
  </si>
  <si>
    <t>E-WEICHAT EW-LP12 CONNECTOR 4-PIN</t>
  </si>
  <si>
    <t>EW-LP12-4</t>
  </si>
  <si>
    <t>5PC IP68 WATERPROOF JUNCTION 2-WAY</t>
  </si>
  <si>
    <t>18AWG 2 COND WIRE 50FT</t>
  </si>
  <si>
    <t>20 SETS MINI MICRO 1.0 JST</t>
  </si>
  <si>
    <t>2PCS 3.7V 3000 mAh LI-ION BATTERY</t>
  </si>
  <si>
    <t>PVC PIPE SCH 40 4IN X 24IN</t>
  </si>
  <si>
    <t>10 PACK 4IN PVC CAPS</t>
  </si>
  <si>
    <t>24AWG FLEX WIRE</t>
  </si>
  <si>
    <t>EW-LP16-2</t>
  </si>
  <si>
    <t>E-WEICHAT EW-LP16 CONNECTOR 2-PIN</t>
  </si>
  <si>
    <t>WESIRI 10 PAIRS 2PIN JST</t>
  </si>
  <si>
    <t>WESIRI 10 PAIRS 4PIN JST</t>
  </si>
  <si>
    <t>WESIRI 10 PAIRS 3PIN JST</t>
  </si>
  <si>
    <t>580PCS WHITE HEAT SHRINK</t>
  </si>
  <si>
    <t>10 SETS MINI MCRO ZH 2PIN JST</t>
  </si>
  <si>
    <t>10 SETS MINI MCRO 2PIN JST-PH 2.0</t>
  </si>
  <si>
    <t>PLA+ FILAMENT 6 PACK</t>
  </si>
  <si>
    <t>ASA RED FILAMENT</t>
  </si>
  <si>
    <t>ASA BLUE FILAMENT</t>
  </si>
  <si>
    <t>ASA BLACK FILAMENT</t>
  </si>
  <si>
    <t>CABLE GLAND PG7 20 PACK</t>
  </si>
  <si>
    <t>BTF-LIGHTING 3 PIN CONNECTOR</t>
  </si>
  <si>
    <t>ABOVEHILL QI WIRELESS CHARGING MODULES</t>
  </si>
  <si>
    <t>BOJACK TMP36 TEMP SENSORS 5 PACK</t>
  </si>
  <si>
    <t>LIPO FUEL GAUGE MAX17043 MODULE</t>
  </si>
  <si>
    <t>BLACK 400 PCS HEAT SHRINK KIT</t>
  </si>
  <si>
    <t>DSD TECH USB TO TTL SERIAL ADAPTER</t>
  </si>
  <si>
    <t>SH-U09BL</t>
  </si>
  <si>
    <t>KANAYU 8 PCS SOLAR PANELS 5W</t>
  </si>
  <si>
    <t>YMYP OPEN BARREL TERMINAL WIRE CRIMPER AND PINS</t>
  </si>
  <si>
    <t>CABLE GLAND PG7 100 PACK</t>
  </si>
  <si>
    <t>22AWG 3 CONDUCTOR WIRE 100FT</t>
  </si>
  <si>
    <t>22AWG 2 CONDUCTOR WIRE 65FT</t>
  </si>
  <si>
    <t>20 SETS MINI MICRO JST 2.0 PH</t>
  </si>
  <si>
    <t>DROK 5PCS 10K B3950 TEMP SENSOR</t>
  </si>
  <si>
    <t>5PCS RAIN WATER LEVEL SENSOR MODULE</t>
  </si>
  <si>
    <t>SUMKLIN 2PCS BME280 5V TEMP MODULE</t>
  </si>
  <si>
    <t>5PCS 12MM LATCHING SWITCHES</t>
  </si>
  <si>
    <t>CABLE GLANDS 12 PACK 3/4"</t>
  </si>
  <si>
    <t>CABLE GLANDS 12 PACK 1/2"</t>
  </si>
  <si>
    <t>20PCS MCP1700-3302E/TO-92 LDO REG</t>
  </si>
  <si>
    <t>10PCS AHT20 HIGH PRECISION TEMP MODULES</t>
  </si>
  <si>
    <t>DORHEA 15PCS 16850 BATTERY HOLDER</t>
  </si>
  <si>
    <t>I2C QWIIC CABLE KIT</t>
  </si>
  <si>
    <t xml:space="preserve">SPARKFUN QWIIC ENDPOINT </t>
  </si>
  <si>
    <t>AITRIP 3PCS ESP32 MODULES</t>
  </si>
  <si>
    <t>22AWG 3 CONDUCTOR WIRE 16FT</t>
  </si>
  <si>
    <t>CABLE GLAND PG7 30 PACK</t>
  </si>
  <si>
    <t>UMLIFE 10PCS ULTRA MINI USB CHARGER</t>
  </si>
  <si>
    <t>3PCS ESP-WROOM-32 DEVKITC MODULE</t>
  </si>
  <si>
    <t>PKCELL 4 PACK ER34615 BATTERY 19AH</t>
  </si>
  <si>
    <t>D CELL HOLDER 4 PACK</t>
  </si>
  <si>
    <t>ADAFRUIT TPL5110 LOW POWER TIMER</t>
  </si>
  <si>
    <t>ADAFRUIT</t>
  </si>
  <si>
    <t>Firebeetle DFR0575</t>
  </si>
  <si>
    <t>DIGIKEY</t>
  </si>
  <si>
    <t>2" PVC Caps 10 pack</t>
  </si>
  <si>
    <t>UPS Shipping of device to CBF</t>
  </si>
  <si>
    <t>UPS</t>
  </si>
  <si>
    <t>4G LTE Outdoor Antenna</t>
  </si>
  <si>
    <t>Bridgold 100pcs AO3401</t>
  </si>
  <si>
    <t>10 pcs 1000uF 25V  Electrolytic Capacitors</t>
  </si>
  <si>
    <t>Beetle ESP32 C6 mini</t>
  </si>
  <si>
    <t>DFROBOT</t>
  </si>
  <si>
    <t>Hours:</t>
  </si>
  <si>
    <t>Total:</t>
  </si>
  <si>
    <t>Pay: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</si>
</sst>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workbookViewId="0">
      <selection activeCell="K24" sqref="K24"/>
    </sheetView>
  </sheetViews>
  <sheetFormatPr defaultRowHeight="15" x14ac:dyDescent="0.25"/>
  <cols>
    <col min="1" max="1" width="5.140625" bestFit="1" customWidth="1"/>
    <col min="2" max="2" width="14.85546875" bestFit="1" customWidth="1"/>
    <col min="3" max="3" width="41.85546875" bestFit="1" customWidth="1"/>
    <col min="4" max="4" width="17.85546875" bestFit="1" customWidth="1"/>
    <col min="5" max="5" width="9.42578125" bestFit="1" customWidth="1"/>
    <col min="6" max="6" width="10.7109375" bestFit="1" customWidth="1"/>
    <col min="7" max="7" width="8.7109375" bestFit="1" customWidth="1"/>
    <col min="8" max="8" width="8.7109375" customWidth="1"/>
    <col min="9" max="9" width="10.5703125" bestFit="1" customWidth="1"/>
    <col min="12" max="12" width="11.5703125" bestFit="1" customWidth="1"/>
  </cols>
  <sheetData>
    <row r="1" spans="1:12" x14ac:dyDescent="0.25">
      <c r="I1" s="2">
        <f>SUM(I3:I96)</f>
        <v>1678.7700000000009</v>
      </c>
      <c r="K1" t="s">
        <v>98</v>
      </c>
      <c r="L1" s="2">
        <v>75</v>
      </c>
    </row>
    <row r="2" spans="1:12" x14ac:dyDescent="0.25">
      <c r="A2" t="s">
        <v>0</v>
      </c>
      <c r="B2" t="s">
        <v>1</v>
      </c>
      <c r="C2" t="s">
        <v>6</v>
      </c>
      <c r="D2" t="s">
        <v>7</v>
      </c>
      <c r="E2" t="s">
        <v>2</v>
      </c>
      <c r="F2" t="s">
        <v>3</v>
      </c>
      <c r="G2" t="s">
        <v>4</v>
      </c>
      <c r="H2" t="s">
        <v>10</v>
      </c>
      <c r="I2" t="s">
        <v>5</v>
      </c>
      <c r="K2" t="s">
        <v>96</v>
      </c>
      <c r="L2">
        <v>200</v>
      </c>
    </row>
    <row r="3" spans="1:12" x14ac:dyDescent="0.25">
      <c r="A3">
        <v>1</v>
      </c>
      <c r="B3" s="1">
        <v>45368</v>
      </c>
      <c r="C3" t="s">
        <v>79</v>
      </c>
      <c r="E3" t="s">
        <v>23</v>
      </c>
      <c r="F3">
        <v>8.8800000000000008</v>
      </c>
      <c r="G3">
        <v>1</v>
      </c>
      <c r="I3">
        <f>F3*G3+H3</f>
        <v>8.8800000000000008</v>
      </c>
      <c r="K3" t="s">
        <v>97</v>
      </c>
      <c r="L3" s="2">
        <f>L2*L1</f>
        <v>15000</v>
      </c>
    </row>
    <row r="4" spans="1:12" x14ac:dyDescent="0.25">
      <c r="A4">
        <v>2</v>
      </c>
      <c r="B4" s="1">
        <v>45376</v>
      </c>
      <c r="C4" t="s">
        <v>52</v>
      </c>
      <c r="E4" t="s">
        <v>23</v>
      </c>
      <c r="F4">
        <v>7.99</v>
      </c>
      <c r="G4">
        <v>1</v>
      </c>
      <c r="I4">
        <f t="shared" ref="I4:I80" si="0">F4*G4+H4</f>
        <v>7.99</v>
      </c>
    </row>
    <row r="5" spans="1:12" x14ac:dyDescent="0.25">
      <c r="A5">
        <v>3</v>
      </c>
      <c r="B5" s="1">
        <v>45376</v>
      </c>
      <c r="C5" t="s">
        <v>53</v>
      </c>
      <c r="E5" t="s">
        <v>23</v>
      </c>
      <c r="F5">
        <v>9.99</v>
      </c>
      <c r="G5">
        <v>1</v>
      </c>
      <c r="I5">
        <f t="shared" si="0"/>
        <v>9.99</v>
      </c>
    </row>
    <row r="6" spans="1:12" x14ac:dyDescent="0.25">
      <c r="A6">
        <v>4</v>
      </c>
      <c r="B6" s="1">
        <v>45379</v>
      </c>
      <c r="C6" t="s">
        <v>54</v>
      </c>
      <c r="E6" t="s">
        <v>23</v>
      </c>
      <c r="F6">
        <v>13.99</v>
      </c>
      <c r="G6">
        <v>1</v>
      </c>
      <c r="I6">
        <f t="shared" si="0"/>
        <v>13.99</v>
      </c>
    </row>
    <row r="7" spans="1:12" x14ac:dyDescent="0.25">
      <c r="A7">
        <v>5</v>
      </c>
      <c r="B7" s="1">
        <v>45393</v>
      </c>
      <c r="C7" t="s">
        <v>48</v>
      </c>
      <c r="E7" t="s">
        <v>23</v>
      </c>
      <c r="F7">
        <v>79.989999999999995</v>
      </c>
      <c r="G7">
        <v>1</v>
      </c>
      <c r="I7">
        <f t="shared" si="0"/>
        <v>79.989999999999995</v>
      </c>
    </row>
    <row r="8" spans="1:12" x14ac:dyDescent="0.25">
      <c r="A8">
        <v>6</v>
      </c>
      <c r="B8" s="1">
        <v>45393</v>
      </c>
      <c r="C8" t="s">
        <v>49</v>
      </c>
      <c r="E8" t="s">
        <v>23</v>
      </c>
      <c r="F8">
        <v>17.989999999999998</v>
      </c>
      <c r="G8">
        <v>1</v>
      </c>
      <c r="I8">
        <f t="shared" si="0"/>
        <v>17.989999999999998</v>
      </c>
    </row>
    <row r="9" spans="1:12" x14ac:dyDescent="0.25">
      <c r="A9">
        <v>7</v>
      </c>
      <c r="B9" s="1">
        <v>45393</v>
      </c>
      <c r="C9" t="s">
        <v>50</v>
      </c>
      <c r="E9" t="s">
        <v>23</v>
      </c>
      <c r="F9">
        <v>22.99</v>
      </c>
      <c r="G9">
        <v>1</v>
      </c>
      <c r="I9">
        <f t="shared" si="0"/>
        <v>22.99</v>
      </c>
    </row>
    <row r="10" spans="1:12" x14ac:dyDescent="0.25">
      <c r="A10">
        <v>8</v>
      </c>
      <c r="B10" s="1">
        <v>45393</v>
      </c>
      <c r="C10" t="s">
        <v>51</v>
      </c>
      <c r="E10" t="s">
        <v>23</v>
      </c>
      <c r="F10">
        <v>22.99</v>
      </c>
      <c r="G10">
        <v>1</v>
      </c>
      <c r="I10">
        <f t="shared" si="0"/>
        <v>22.99</v>
      </c>
    </row>
    <row r="11" spans="1:12" x14ac:dyDescent="0.25">
      <c r="A11">
        <v>9</v>
      </c>
      <c r="B11" s="1">
        <v>45394</v>
      </c>
      <c r="C11" t="s">
        <v>54</v>
      </c>
      <c r="E11" t="s">
        <v>23</v>
      </c>
      <c r="F11">
        <v>13.99</v>
      </c>
      <c r="G11">
        <v>4</v>
      </c>
      <c r="I11">
        <f t="shared" si="0"/>
        <v>55.96</v>
      </c>
    </row>
    <row r="12" spans="1:12" x14ac:dyDescent="0.25">
      <c r="A12">
        <v>10</v>
      </c>
      <c r="B12" s="1">
        <v>45401</v>
      </c>
      <c r="C12" t="s">
        <v>55</v>
      </c>
      <c r="E12" t="s">
        <v>23</v>
      </c>
      <c r="F12">
        <v>14.99</v>
      </c>
      <c r="G12">
        <v>1</v>
      </c>
      <c r="I12">
        <f t="shared" si="0"/>
        <v>14.99</v>
      </c>
    </row>
    <row r="13" spans="1:12" x14ac:dyDescent="0.25">
      <c r="A13">
        <v>11</v>
      </c>
      <c r="B13" s="1">
        <v>45414</v>
      </c>
      <c r="C13" t="s">
        <v>56</v>
      </c>
      <c r="E13" t="s">
        <v>23</v>
      </c>
      <c r="F13">
        <v>9.99</v>
      </c>
      <c r="G13">
        <v>2</v>
      </c>
      <c r="I13">
        <f t="shared" si="0"/>
        <v>19.98</v>
      </c>
    </row>
    <row r="14" spans="1:12" x14ac:dyDescent="0.25">
      <c r="A14">
        <v>12</v>
      </c>
      <c r="B14" s="1">
        <v>45414</v>
      </c>
      <c r="C14" t="s">
        <v>57</v>
      </c>
      <c r="E14" t="s">
        <v>23</v>
      </c>
      <c r="F14">
        <v>12.99</v>
      </c>
      <c r="G14">
        <v>1</v>
      </c>
      <c r="I14">
        <f t="shared" si="0"/>
        <v>12.99</v>
      </c>
    </row>
    <row r="15" spans="1:12" x14ac:dyDescent="0.25">
      <c r="A15">
        <v>13</v>
      </c>
      <c r="B15" s="1">
        <v>45443</v>
      </c>
      <c r="C15" t="s">
        <v>11</v>
      </c>
      <c r="E15" t="s">
        <v>9</v>
      </c>
      <c r="F15">
        <v>53</v>
      </c>
      <c r="G15">
        <v>1</v>
      </c>
      <c r="H15">
        <v>13.85</v>
      </c>
      <c r="I15">
        <f t="shared" si="0"/>
        <v>66.849999999999994</v>
      </c>
    </row>
    <row r="16" spans="1:12" x14ac:dyDescent="0.25">
      <c r="A16">
        <v>14</v>
      </c>
      <c r="B16" s="1">
        <v>45443</v>
      </c>
      <c r="C16" t="s">
        <v>12</v>
      </c>
      <c r="E16" t="s">
        <v>9</v>
      </c>
      <c r="F16">
        <v>25</v>
      </c>
      <c r="G16">
        <v>1</v>
      </c>
      <c r="H16">
        <v>0</v>
      </c>
      <c r="I16">
        <f t="shared" si="0"/>
        <v>25</v>
      </c>
    </row>
    <row r="17" spans="1:9" x14ac:dyDescent="0.25">
      <c r="A17">
        <v>15</v>
      </c>
      <c r="B17" s="1">
        <v>45454</v>
      </c>
      <c r="C17" t="s">
        <v>58</v>
      </c>
      <c r="D17" t="s">
        <v>59</v>
      </c>
      <c r="E17" t="s">
        <v>23</v>
      </c>
      <c r="F17">
        <v>13</v>
      </c>
      <c r="G17">
        <v>3</v>
      </c>
      <c r="I17">
        <f t="shared" si="0"/>
        <v>39</v>
      </c>
    </row>
    <row r="18" spans="1:9" x14ac:dyDescent="0.25">
      <c r="A18">
        <v>16</v>
      </c>
      <c r="B18" s="1">
        <v>45516</v>
      </c>
      <c r="C18" t="s">
        <v>60</v>
      </c>
      <c r="E18" t="s">
        <v>23</v>
      </c>
      <c r="F18">
        <v>39.99</v>
      </c>
      <c r="G18">
        <v>1</v>
      </c>
      <c r="I18">
        <f t="shared" si="0"/>
        <v>39.99</v>
      </c>
    </row>
    <row r="19" spans="1:9" x14ac:dyDescent="0.25">
      <c r="A19">
        <v>17</v>
      </c>
      <c r="B19" s="1">
        <v>45516</v>
      </c>
      <c r="C19" t="s">
        <v>61</v>
      </c>
      <c r="E19" t="s">
        <v>23</v>
      </c>
      <c r="F19">
        <v>23.48</v>
      </c>
      <c r="G19">
        <v>1</v>
      </c>
      <c r="I19">
        <f t="shared" si="0"/>
        <v>23.48</v>
      </c>
    </row>
    <row r="20" spans="1:9" x14ac:dyDescent="0.25">
      <c r="A20">
        <v>18</v>
      </c>
      <c r="B20" s="1">
        <v>45516</v>
      </c>
      <c r="C20" t="s">
        <v>62</v>
      </c>
      <c r="E20" t="s">
        <v>23</v>
      </c>
      <c r="F20">
        <v>22.99</v>
      </c>
      <c r="G20">
        <v>1</v>
      </c>
      <c r="I20">
        <f t="shared" si="0"/>
        <v>22.99</v>
      </c>
    </row>
    <row r="21" spans="1:9" x14ac:dyDescent="0.25">
      <c r="A21">
        <v>19</v>
      </c>
      <c r="B21" s="1">
        <v>45516</v>
      </c>
      <c r="C21" t="s">
        <v>63</v>
      </c>
      <c r="E21" t="s">
        <v>23</v>
      </c>
      <c r="F21">
        <v>29.98</v>
      </c>
      <c r="G21">
        <v>1</v>
      </c>
      <c r="I21">
        <f t="shared" si="0"/>
        <v>29.98</v>
      </c>
    </row>
    <row r="22" spans="1:9" x14ac:dyDescent="0.25">
      <c r="A22">
        <v>20</v>
      </c>
      <c r="B22" s="1">
        <v>45516</v>
      </c>
      <c r="C22" t="s">
        <v>64</v>
      </c>
      <c r="E22" t="s">
        <v>23</v>
      </c>
      <c r="F22">
        <v>13.99</v>
      </c>
      <c r="G22">
        <v>1</v>
      </c>
      <c r="I22">
        <f t="shared" si="0"/>
        <v>13.99</v>
      </c>
    </row>
    <row r="23" spans="1:9" x14ac:dyDescent="0.25">
      <c r="A23">
        <v>21</v>
      </c>
      <c r="B23" s="1">
        <v>45516</v>
      </c>
      <c r="C23" t="s">
        <v>65</v>
      </c>
      <c r="E23" t="s">
        <v>23</v>
      </c>
      <c r="F23">
        <v>8.59</v>
      </c>
      <c r="G23">
        <v>2</v>
      </c>
      <c r="I23">
        <f t="shared" si="0"/>
        <v>17.18</v>
      </c>
    </row>
    <row r="24" spans="1:9" x14ac:dyDescent="0.25">
      <c r="A24">
        <v>22</v>
      </c>
      <c r="B24" s="1">
        <v>45548</v>
      </c>
      <c r="C24" t="s">
        <v>66</v>
      </c>
      <c r="E24" t="s">
        <v>23</v>
      </c>
      <c r="F24">
        <v>11.7</v>
      </c>
      <c r="G24">
        <v>1</v>
      </c>
      <c r="I24">
        <f t="shared" si="0"/>
        <v>11.7</v>
      </c>
    </row>
    <row r="25" spans="1:9" x14ac:dyDescent="0.25">
      <c r="A25">
        <v>23</v>
      </c>
      <c r="B25" s="1">
        <v>45556</v>
      </c>
      <c r="C25" t="s">
        <v>67</v>
      </c>
      <c r="E25" t="s">
        <v>23</v>
      </c>
      <c r="F25">
        <v>8.99</v>
      </c>
      <c r="G25">
        <v>1</v>
      </c>
      <c r="I25">
        <f t="shared" si="0"/>
        <v>8.99</v>
      </c>
    </row>
    <row r="26" spans="1:9" x14ac:dyDescent="0.25">
      <c r="A26">
        <v>24</v>
      </c>
      <c r="B26" s="1">
        <v>45556</v>
      </c>
      <c r="C26" t="s">
        <v>68</v>
      </c>
      <c r="E26" t="s">
        <v>23</v>
      </c>
      <c r="F26">
        <v>14.99</v>
      </c>
      <c r="G26">
        <v>1</v>
      </c>
      <c r="I26">
        <f t="shared" si="0"/>
        <v>14.99</v>
      </c>
    </row>
    <row r="27" spans="1:9" x14ac:dyDescent="0.25">
      <c r="A27">
        <v>25</v>
      </c>
      <c r="B27" s="1">
        <v>45556</v>
      </c>
      <c r="C27" t="s">
        <v>69</v>
      </c>
      <c r="E27" t="s">
        <v>23</v>
      </c>
      <c r="F27">
        <v>14.49</v>
      </c>
      <c r="G27">
        <v>1</v>
      </c>
      <c r="I27">
        <f t="shared" si="0"/>
        <v>14.49</v>
      </c>
    </row>
    <row r="28" spans="1:9" x14ac:dyDescent="0.25">
      <c r="A28">
        <v>26</v>
      </c>
      <c r="B28" s="1">
        <v>45556</v>
      </c>
      <c r="C28" t="s">
        <v>70</v>
      </c>
      <c r="E28" t="s">
        <v>23</v>
      </c>
      <c r="F28">
        <v>11.99</v>
      </c>
      <c r="G28">
        <v>1</v>
      </c>
      <c r="I28">
        <f t="shared" si="0"/>
        <v>11.99</v>
      </c>
    </row>
    <row r="29" spans="1:9" x14ac:dyDescent="0.25">
      <c r="A29">
        <v>27</v>
      </c>
      <c r="B29" s="1">
        <v>45566</v>
      </c>
      <c r="C29" t="s">
        <v>71</v>
      </c>
      <c r="E29" t="s">
        <v>23</v>
      </c>
      <c r="F29">
        <v>9.99</v>
      </c>
      <c r="G29">
        <v>1</v>
      </c>
      <c r="I29">
        <f t="shared" si="0"/>
        <v>9.99</v>
      </c>
    </row>
    <row r="30" spans="1:9" x14ac:dyDescent="0.25">
      <c r="A30">
        <v>28</v>
      </c>
      <c r="B30" s="1">
        <v>45568</v>
      </c>
      <c r="C30" t="s">
        <v>72</v>
      </c>
      <c r="E30" t="s">
        <v>23</v>
      </c>
      <c r="F30">
        <v>16.989999999999998</v>
      </c>
      <c r="G30">
        <v>1</v>
      </c>
      <c r="I30">
        <f t="shared" si="0"/>
        <v>16.989999999999998</v>
      </c>
    </row>
    <row r="31" spans="1:9" x14ac:dyDescent="0.25">
      <c r="A31">
        <v>29</v>
      </c>
      <c r="B31" s="1">
        <v>45571</v>
      </c>
      <c r="C31" t="s">
        <v>73</v>
      </c>
      <c r="E31" t="s">
        <v>23</v>
      </c>
      <c r="F31">
        <v>13.99</v>
      </c>
      <c r="G31">
        <v>1</v>
      </c>
      <c r="I31">
        <f t="shared" si="0"/>
        <v>13.99</v>
      </c>
    </row>
    <row r="32" spans="1:9" x14ac:dyDescent="0.25">
      <c r="A32">
        <v>30</v>
      </c>
      <c r="B32" s="1">
        <v>45581</v>
      </c>
      <c r="C32" t="s">
        <v>74</v>
      </c>
      <c r="E32" t="s">
        <v>23</v>
      </c>
      <c r="F32">
        <v>6.99</v>
      </c>
      <c r="G32">
        <v>1</v>
      </c>
      <c r="I32">
        <f t="shared" si="0"/>
        <v>6.99</v>
      </c>
    </row>
    <row r="33" spans="1:9" x14ac:dyDescent="0.25">
      <c r="A33">
        <v>31</v>
      </c>
      <c r="B33" s="1">
        <v>45596</v>
      </c>
      <c r="C33" t="s">
        <v>20</v>
      </c>
      <c r="E33" t="s">
        <v>17</v>
      </c>
      <c r="F33">
        <v>1.99</v>
      </c>
      <c r="G33">
        <v>20</v>
      </c>
      <c r="H33">
        <v>15.98</v>
      </c>
      <c r="I33">
        <f t="shared" si="0"/>
        <v>55.78</v>
      </c>
    </row>
    <row r="34" spans="1:9" x14ac:dyDescent="0.25">
      <c r="A34">
        <v>32</v>
      </c>
      <c r="B34" s="1">
        <v>45596</v>
      </c>
      <c r="C34" t="s">
        <v>15</v>
      </c>
      <c r="D34" t="s">
        <v>21</v>
      </c>
      <c r="E34" t="s">
        <v>17</v>
      </c>
      <c r="F34">
        <v>0.30680000000000002</v>
      </c>
      <c r="G34">
        <v>50</v>
      </c>
      <c r="H34">
        <v>0</v>
      </c>
      <c r="I34">
        <f t="shared" si="0"/>
        <v>15.340000000000002</v>
      </c>
    </row>
    <row r="35" spans="1:9" x14ac:dyDescent="0.25">
      <c r="A35">
        <v>33</v>
      </c>
      <c r="B35" s="1">
        <v>45605</v>
      </c>
      <c r="C35" t="s">
        <v>13</v>
      </c>
      <c r="E35" t="s">
        <v>9</v>
      </c>
      <c r="F35">
        <v>24.95</v>
      </c>
      <c r="G35">
        <v>1</v>
      </c>
      <c r="H35">
        <v>13.17</v>
      </c>
      <c r="I35">
        <f t="shared" si="0"/>
        <v>38.119999999999997</v>
      </c>
    </row>
    <row r="36" spans="1:9" x14ac:dyDescent="0.25">
      <c r="A36">
        <v>34</v>
      </c>
      <c r="B36" s="1">
        <v>45876</v>
      </c>
      <c r="C36" t="s">
        <v>12</v>
      </c>
      <c r="E36" t="s">
        <v>9</v>
      </c>
      <c r="F36">
        <v>25</v>
      </c>
      <c r="G36">
        <v>1</v>
      </c>
      <c r="H36">
        <v>0</v>
      </c>
      <c r="I36">
        <f t="shared" si="0"/>
        <v>25</v>
      </c>
    </row>
    <row r="37" spans="1:9" x14ac:dyDescent="0.25">
      <c r="A37">
        <v>35</v>
      </c>
      <c r="B37" s="1">
        <v>45876</v>
      </c>
      <c r="C37" t="s">
        <v>13</v>
      </c>
      <c r="E37" t="s">
        <v>9</v>
      </c>
      <c r="F37">
        <v>24.95</v>
      </c>
      <c r="G37">
        <v>1</v>
      </c>
      <c r="H37">
        <v>0</v>
      </c>
      <c r="I37">
        <f t="shared" si="0"/>
        <v>24.95</v>
      </c>
    </row>
    <row r="38" spans="1:9" x14ac:dyDescent="0.25">
      <c r="A38">
        <v>36</v>
      </c>
      <c r="B38" s="1">
        <v>45876</v>
      </c>
      <c r="C38" t="s">
        <v>14</v>
      </c>
      <c r="E38" t="s">
        <v>9</v>
      </c>
      <c r="F38">
        <v>3.25</v>
      </c>
      <c r="G38">
        <v>1</v>
      </c>
      <c r="H38">
        <v>13.11</v>
      </c>
      <c r="I38">
        <f t="shared" si="0"/>
        <v>16.36</v>
      </c>
    </row>
    <row r="39" spans="1:9" x14ac:dyDescent="0.25">
      <c r="A39">
        <v>37</v>
      </c>
      <c r="B39" s="1">
        <v>45880</v>
      </c>
      <c r="C39" t="s">
        <v>22</v>
      </c>
      <c r="E39" t="s">
        <v>23</v>
      </c>
      <c r="F39">
        <v>16.989999999999998</v>
      </c>
      <c r="G39">
        <v>1</v>
      </c>
      <c r="H39">
        <v>0</v>
      </c>
      <c r="I39">
        <f t="shared" si="0"/>
        <v>16.989999999999998</v>
      </c>
    </row>
    <row r="40" spans="1:9" x14ac:dyDescent="0.25">
      <c r="A40">
        <v>38</v>
      </c>
      <c r="B40" s="1">
        <v>45883</v>
      </c>
      <c r="C40" t="s">
        <v>24</v>
      </c>
      <c r="E40" t="s">
        <v>23</v>
      </c>
      <c r="F40">
        <v>9.99</v>
      </c>
      <c r="G40">
        <v>1</v>
      </c>
      <c r="H40">
        <v>0</v>
      </c>
      <c r="I40">
        <f t="shared" si="0"/>
        <v>9.99</v>
      </c>
    </row>
    <row r="41" spans="1:9" x14ac:dyDescent="0.25">
      <c r="A41">
        <v>39</v>
      </c>
      <c r="B41" s="1">
        <v>45883</v>
      </c>
      <c r="C41" t="s">
        <v>27</v>
      </c>
      <c r="D41" t="s">
        <v>28</v>
      </c>
      <c r="E41" t="s">
        <v>23</v>
      </c>
      <c r="F41">
        <v>8.99</v>
      </c>
      <c r="G41">
        <v>1</v>
      </c>
      <c r="I41">
        <f t="shared" si="0"/>
        <v>8.99</v>
      </c>
    </row>
    <row r="42" spans="1:9" x14ac:dyDescent="0.25">
      <c r="A42">
        <v>40</v>
      </c>
      <c r="B42" s="1">
        <v>45883</v>
      </c>
      <c r="C42" t="s">
        <v>25</v>
      </c>
      <c r="E42" t="s">
        <v>23</v>
      </c>
      <c r="F42">
        <v>17.989999999999998</v>
      </c>
      <c r="G42">
        <v>1</v>
      </c>
      <c r="I42">
        <f t="shared" si="0"/>
        <v>17.989999999999998</v>
      </c>
    </row>
    <row r="43" spans="1:9" x14ac:dyDescent="0.25">
      <c r="A43">
        <v>41</v>
      </c>
      <c r="B43" s="1">
        <v>45883</v>
      </c>
      <c r="C43" t="s">
        <v>69</v>
      </c>
      <c r="E43" t="s">
        <v>23</v>
      </c>
      <c r="F43">
        <v>14.49</v>
      </c>
      <c r="G43">
        <v>1</v>
      </c>
      <c r="I43">
        <f t="shared" si="0"/>
        <v>14.49</v>
      </c>
    </row>
    <row r="44" spans="1:9" x14ac:dyDescent="0.25">
      <c r="A44">
        <v>42</v>
      </c>
      <c r="B44" s="1">
        <v>45883</v>
      </c>
      <c r="C44" t="s">
        <v>26</v>
      </c>
      <c r="E44" t="s">
        <v>23</v>
      </c>
      <c r="F44">
        <v>9.7200000000000006</v>
      </c>
      <c r="G44">
        <v>1</v>
      </c>
      <c r="I44">
        <f t="shared" si="0"/>
        <v>9.7200000000000006</v>
      </c>
    </row>
    <row r="45" spans="1:9" x14ac:dyDescent="0.25">
      <c r="A45">
        <v>43</v>
      </c>
      <c r="B45" s="1">
        <v>45883</v>
      </c>
      <c r="C45" t="s">
        <v>31</v>
      </c>
      <c r="D45" t="s">
        <v>32</v>
      </c>
      <c r="E45" t="s">
        <v>23</v>
      </c>
      <c r="F45">
        <v>8.99</v>
      </c>
      <c r="G45">
        <v>1</v>
      </c>
      <c r="I45">
        <f t="shared" si="0"/>
        <v>8.99</v>
      </c>
    </row>
    <row r="46" spans="1:9" x14ac:dyDescent="0.25">
      <c r="A46">
        <v>44</v>
      </c>
      <c r="B46" s="1">
        <v>45883</v>
      </c>
      <c r="C46" t="s">
        <v>33</v>
      </c>
      <c r="E46" t="s">
        <v>23</v>
      </c>
      <c r="F46">
        <v>14.99</v>
      </c>
      <c r="G46">
        <v>2</v>
      </c>
      <c r="I46">
        <f t="shared" si="0"/>
        <v>29.98</v>
      </c>
    </row>
    <row r="47" spans="1:9" x14ac:dyDescent="0.25">
      <c r="A47">
        <v>45</v>
      </c>
      <c r="B47" s="1">
        <v>45883</v>
      </c>
      <c r="C47" t="s">
        <v>34</v>
      </c>
      <c r="E47" t="s">
        <v>23</v>
      </c>
      <c r="F47">
        <v>20.98</v>
      </c>
      <c r="G47">
        <v>1</v>
      </c>
      <c r="I47">
        <f t="shared" si="0"/>
        <v>20.98</v>
      </c>
    </row>
    <row r="48" spans="1:9" x14ac:dyDescent="0.25">
      <c r="A48">
        <v>46</v>
      </c>
      <c r="B48" s="1">
        <v>45883</v>
      </c>
      <c r="C48" t="s">
        <v>35</v>
      </c>
      <c r="E48" t="s">
        <v>23</v>
      </c>
      <c r="F48">
        <v>8.39</v>
      </c>
      <c r="G48">
        <v>1</v>
      </c>
      <c r="I48">
        <f t="shared" si="0"/>
        <v>8.39</v>
      </c>
    </row>
    <row r="49" spans="1:9" x14ac:dyDescent="0.25">
      <c r="A49">
        <v>47</v>
      </c>
      <c r="B49" s="1">
        <v>45888</v>
      </c>
      <c r="C49" t="s">
        <v>36</v>
      </c>
      <c r="E49" t="s">
        <v>23</v>
      </c>
      <c r="F49">
        <v>11.99</v>
      </c>
      <c r="G49">
        <v>1</v>
      </c>
      <c r="I49">
        <f t="shared" si="0"/>
        <v>11.99</v>
      </c>
    </row>
    <row r="50" spans="1:9" x14ac:dyDescent="0.25">
      <c r="A50">
        <v>48</v>
      </c>
      <c r="B50" s="1">
        <v>46012</v>
      </c>
      <c r="C50" t="s">
        <v>37</v>
      </c>
      <c r="E50" t="s">
        <v>23</v>
      </c>
      <c r="F50">
        <v>7.75</v>
      </c>
      <c r="G50">
        <v>1</v>
      </c>
      <c r="I50">
        <f t="shared" si="0"/>
        <v>7.75</v>
      </c>
    </row>
    <row r="51" spans="1:9" x14ac:dyDescent="0.25">
      <c r="A51">
        <v>49</v>
      </c>
      <c r="B51" s="1">
        <v>46012</v>
      </c>
      <c r="C51" t="s">
        <v>38</v>
      </c>
      <c r="E51" t="s">
        <v>23</v>
      </c>
      <c r="F51">
        <v>39.99</v>
      </c>
      <c r="G51">
        <v>1</v>
      </c>
      <c r="I51">
        <f t="shared" si="0"/>
        <v>39.99</v>
      </c>
    </row>
    <row r="52" spans="1:9" x14ac:dyDescent="0.25">
      <c r="A52">
        <v>50</v>
      </c>
      <c r="B52" s="1">
        <v>46012</v>
      </c>
      <c r="C52" t="s">
        <v>39</v>
      </c>
      <c r="E52" t="s">
        <v>23</v>
      </c>
      <c r="F52">
        <v>15.39</v>
      </c>
      <c r="G52">
        <v>1</v>
      </c>
      <c r="I52">
        <f t="shared" si="0"/>
        <v>15.39</v>
      </c>
    </row>
    <row r="53" spans="1:9" x14ac:dyDescent="0.25">
      <c r="A53">
        <v>51</v>
      </c>
      <c r="B53" s="1">
        <v>46012</v>
      </c>
      <c r="C53" t="s">
        <v>29</v>
      </c>
      <c r="D53" t="s">
        <v>30</v>
      </c>
      <c r="E53" t="s">
        <v>23</v>
      </c>
      <c r="F53">
        <v>8.99</v>
      </c>
      <c r="G53">
        <v>4</v>
      </c>
      <c r="I53">
        <f t="shared" si="0"/>
        <v>35.96</v>
      </c>
    </row>
    <row r="54" spans="1:9" x14ac:dyDescent="0.25">
      <c r="A54">
        <v>52</v>
      </c>
      <c r="B54" s="1">
        <v>46012</v>
      </c>
      <c r="C54" t="s">
        <v>41</v>
      </c>
      <c r="D54" t="s">
        <v>40</v>
      </c>
      <c r="E54" t="s">
        <v>23</v>
      </c>
      <c r="F54">
        <v>11.69</v>
      </c>
      <c r="G54">
        <v>1</v>
      </c>
      <c r="I54">
        <f t="shared" si="0"/>
        <v>11.69</v>
      </c>
    </row>
    <row r="55" spans="1:9" x14ac:dyDescent="0.25">
      <c r="A55">
        <v>53</v>
      </c>
      <c r="B55" s="1">
        <v>46012</v>
      </c>
      <c r="C55" t="s">
        <v>42</v>
      </c>
      <c r="E55" t="s">
        <v>23</v>
      </c>
      <c r="F55">
        <v>4.99</v>
      </c>
      <c r="G55">
        <v>1</v>
      </c>
      <c r="I55">
        <f t="shared" si="0"/>
        <v>4.99</v>
      </c>
    </row>
    <row r="56" spans="1:9" x14ac:dyDescent="0.25">
      <c r="A56">
        <v>54</v>
      </c>
      <c r="B56" s="1">
        <v>46012</v>
      </c>
      <c r="C56" t="s">
        <v>43</v>
      </c>
      <c r="E56" t="s">
        <v>23</v>
      </c>
      <c r="F56">
        <v>6.99</v>
      </c>
      <c r="G56">
        <v>1</v>
      </c>
      <c r="I56">
        <f t="shared" si="0"/>
        <v>6.99</v>
      </c>
    </row>
    <row r="57" spans="1:9" x14ac:dyDescent="0.25">
      <c r="A57">
        <v>55</v>
      </c>
      <c r="B57" s="1">
        <v>46013</v>
      </c>
      <c r="C57" t="s">
        <v>11</v>
      </c>
      <c r="E57" t="s">
        <v>9</v>
      </c>
      <c r="F57">
        <v>53</v>
      </c>
      <c r="G57">
        <v>1</v>
      </c>
      <c r="H57">
        <v>13.85</v>
      </c>
      <c r="I57">
        <f t="shared" si="0"/>
        <v>66.849999999999994</v>
      </c>
    </row>
    <row r="58" spans="1:9" x14ac:dyDescent="0.25">
      <c r="A58">
        <v>56</v>
      </c>
      <c r="B58" s="1">
        <v>46014</v>
      </c>
      <c r="C58" t="s">
        <v>44</v>
      </c>
      <c r="E58" t="s">
        <v>23</v>
      </c>
      <c r="F58">
        <v>5.99</v>
      </c>
      <c r="G58">
        <v>1</v>
      </c>
      <c r="I58">
        <f t="shared" si="0"/>
        <v>5.99</v>
      </c>
    </row>
    <row r="59" spans="1:9" x14ac:dyDescent="0.25">
      <c r="A59">
        <v>57</v>
      </c>
      <c r="B59" s="1">
        <v>46014</v>
      </c>
      <c r="C59" t="s">
        <v>45</v>
      </c>
      <c r="E59" t="s">
        <v>23</v>
      </c>
      <c r="F59">
        <v>9.99</v>
      </c>
      <c r="G59">
        <v>1</v>
      </c>
      <c r="I59">
        <f t="shared" si="0"/>
        <v>9.99</v>
      </c>
    </row>
    <row r="60" spans="1:9" x14ac:dyDescent="0.25">
      <c r="A60">
        <v>58</v>
      </c>
      <c r="B60" s="1">
        <v>46015</v>
      </c>
      <c r="C60" t="s">
        <v>46</v>
      </c>
      <c r="E60" t="s">
        <v>23</v>
      </c>
      <c r="F60">
        <v>7.99</v>
      </c>
      <c r="G60">
        <v>1</v>
      </c>
      <c r="I60">
        <f t="shared" si="0"/>
        <v>7.99</v>
      </c>
    </row>
    <row r="61" spans="1:9" x14ac:dyDescent="0.25">
      <c r="A61">
        <v>59</v>
      </c>
      <c r="B61" s="1">
        <v>46021</v>
      </c>
      <c r="C61" t="s">
        <v>47</v>
      </c>
      <c r="E61" t="s">
        <v>23</v>
      </c>
      <c r="F61">
        <v>6.99</v>
      </c>
      <c r="G61">
        <v>1</v>
      </c>
      <c r="I61">
        <f t="shared" si="0"/>
        <v>6.99</v>
      </c>
    </row>
    <row r="62" spans="1:9" x14ac:dyDescent="0.25">
      <c r="A62">
        <v>60</v>
      </c>
      <c r="B62" s="1">
        <v>46046</v>
      </c>
      <c r="C62" t="s">
        <v>75</v>
      </c>
      <c r="E62" t="s">
        <v>23</v>
      </c>
      <c r="F62">
        <v>9.99</v>
      </c>
      <c r="G62">
        <v>1</v>
      </c>
      <c r="I62">
        <f t="shared" si="0"/>
        <v>9.99</v>
      </c>
    </row>
    <row r="63" spans="1:9" x14ac:dyDescent="0.25">
      <c r="A63">
        <v>61</v>
      </c>
      <c r="B63" s="1">
        <v>46052</v>
      </c>
      <c r="C63" t="s">
        <v>77</v>
      </c>
      <c r="E63" t="s">
        <v>23</v>
      </c>
      <c r="F63">
        <v>16.59</v>
      </c>
      <c r="G63">
        <v>1</v>
      </c>
      <c r="I63">
        <f t="shared" si="0"/>
        <v>16.59</v>
      </c>
    </row>
    <row r="64" spans="1:9" x14ac:dyDescent="0.25">
      <c r="A64">
        <v>62</v>
      </c>
      <c r="B64" s="1">
        <v>46053</v>
      </c>
      <c r="C64" t="s">
        <v>76</v>
      </c>
      <c r="E64" t="s">
        <v>23</v>
      </c>
      <c r="F64">
        <v>17.95</v>
      </c>
      <c r="G64">
        <v>2</v>
      </c>
      <c r="I64">
        <f t="shared" si="0"/>
        <v>35.9</v>
      </c>
    </row>
    <row r="65" spans="1:9" x14ac:dyDescent="0.25">
      <c r="A65">
        <v>63</v>
      </c>
      <c r="B65" s="1">
        <v>46068</v>
      </c>
      <c r="C65" t="s">
        <v>8</v>
      </c>
      <c r="E65" t="s">
        <v>9</v>
      </c>
      <c r="F65">
        <v>10</v>
      </c>
      <c r="G65">
        <v>1</v>
      </c>
      <c r="H65">
        <v>14.03</v>
      </c>
      <c r="I65">
        <f t="shared" si="0"/>
        <v>24.03</v>
      </c>
    </row>
    <row r="66" spans="1:9" x14ac:dyDescent="0.25">
      <c r="A66">
        <v>64</v>
      </c>
      <c r="B66" s="1">
        <v>46079</v>
      </c>
      <c r="C66" t="s">
        <v>84</v>
      </c>
      <c r="E66" t="s">
        <v>85</v>
      </c>
      <c r="F66">
        <v>4.95</v>
      </c>
      <c r="G66">
        <v>3</v>
      </c>
      <c r="H66">
        <v>7.03</v>
      </c>
      <c r="I66">
        <f t="shared" si="0"/>
        <v>21.880000000000003</v>
      </c>
    </row>
    <row r="67" spans="1:9" x14ac:dyDescent="0.25">
      <c r="A67">
        <v>65</v>
      </c>
      <c r="B67" s="1">
        <v>46083</v>
      </c>
      <c r="C67" t="s">
        <v>78</v>
      </c>
      <c r="E67" t="s">
        <v>23</v>
      </c>
      <c r="F67">
        <v>8.98</v>
      </c>
      <c r="G67">
        <v>1</v>
      </c>
      <c r="I67">
        <f t="shared" si="0"/>
        <v>8.98</v>
      </c>
    </row>
    <row r="68" spans="1:9" x14ac:dyDescent="0.25">
      <c r="A68">
        <v>66</v>
      </c>
      <c r="B68" s="1">
        <v>46105</v>
      </c>
      <c r="C68" t="s">
        <v>15</v>
      </c>
      <c r="D68" t="s">
        <v>16</v>
      </c>
      <c r="E68" t="s">
        <v>17</v>
      </c>
      <c r="F68">
        <v>1.2390000000000001</v>
      </c>
      <c r="G68">
        <v>10</v>
      </c>
      <c r="H68">
        <v>0</v>
      </c>
      <c r="I68">
        <f t="shared" si="0"/>
        <v>12.39</v>
      </c>
    </row>
    <row r="69" spans="1:9" x14ac:dyDescent="0.25">
      <c r="A69">
        <v>67</v>
      </c>
      <c r="B69" s="1">
        <v>46105</v>
      </c>
      <c r="C69" t="s">
        <v>18</v>
      </c>
      <c r="D69" t="s">
        <v>19</v>
      </c>
      <c r="E69" t="s">
        <v>17</v>
      </c>
      <c r="F69">
        <v>2.69</v>
      </c>
      <c r="G69">
        <v>10</v>
      </c>
      <c r="H69">
        <v>7.98</v>
      </c>
      <c r="I69">
        <f t="shared" si="0"/>
        <v>34.879999999999995</v>
      </c>
    </row>
    <row r="70" spans="1:9" x14ac:dyDescent="0.25">
      <c r="A70">
        <v>68</v>
      </c>
      <c r="B70" s="1">
        <v>46106</v>
      </c>
      <c r="C70" t="s">
        <v>80</v>
      </c>
      <c r="E70" t="s">
        <v>23</v>
      </c>
      <c r="F70">
        <v>7.99</v>
      </c>
      <c r="G70">
        <v>1</v>
      </c>
      <c r="I70">
        <f t="shared" si="0"/>
        <v>7.99</v>
      </c>
    </row>
    <row r="71" spans="1:9" x14ac:dyDescent="0.25">
      <c r="A71">
        <v>69</v>
      </c>
      <c r="B71" s="1">
        <v>46106</v>
      </c>
      <c r="C71" t="s">
        <v>81</v>
      </c>
      <c r="E71" t="s">
        <v>23</v>
      </c>
      <c r="F71">
        <v>16.79</v>
      </c>
      <c r="G71">
        <v>1</v>
      </c>
      <c r="I71">
        <f t="shared" si="0"/>
        <v>16.79</v>
      </c>
    </row>
    <row r="72" spans="1:9" x14ac:dyDescent="0.25">
      <c r="A72">
        <v>70</v>
      </c>
      <c r="B72" s="1">
        <v>46111</v>
      </c>
      <c r="C72" t="s">
        <v>42</v>
      </c>
      <c r="E72" t="s">
        <v>23</v>
      </c>
      <c r="F72">
        <v>5.49</v>
      </c>
      <c r="G72">
        <v>2</v>
      </c>
      <c r="I72">
        <f t="shared" si="0"/>
        <v>10.98</v>
      </c>
    </row>
    <row r="73" spans="1:9" x14ac:dyDescent="0.25">
      <c r="A73">
        <v>71</v>
      </c>
      <c r="B73" s="1">
        <v>46111</v>
      </c>
      <c r="C73" t="s">
        <v>82</v>
      </c>
      <c r="E73" t="s">
        <v>23</v>
      </c>
      <c r="F73">
        <v>39.99</v>
      </c>
      <c r="G73">
        <v>1</v>
      </c>
      <c r="I73">
        <f t="shared" si="0"/>
        <v>39.99</v>
      </c>
    </row>
    <row r="74" spans="1:9" x14ac:dyDescent="0.25">
      <c r="A74">
        <v>72</v>
      </c>
      <c r="B74" s="1">
        <v>46111</v>
      </c>
      <c r="C74" t="s">
        <v>83</v>
      </c>
      <c r="E74" t="s">
        <v>23</v>
      </c>
      <c r="F74">
        <v>11.99</v>
      </c>
      <c r="G74">
        <v>1</v>
      </c>
      <c r="I74">
        <f t="shared" si="0"/>
        <v>11.99</v>
      </c>
    </row>
    <row r="75" spans="1:9" x14ac:dyDescent="0.25">
      <c r="A75">
        <v>73</v>
      </c>
      <c r="B75" s="1">
        <v>46111</v>
      </c>
      <c r="C75" t="s">
        <v>86</v>
      </c>
      <c r="E75" t="s">
        <v>87</v>
      </c>
      <c r="F75">
        <v>9.9</v>
      </c>
      <c r="G75">
        <v>3</v>
      </c>
      <c r="H75">
        <v>11</v>
      </c>
      <c r="I75">
        <f t="shared" si="0"/>
        <v>40.700000000000003</v>
      </c>
    </row>
    <row r="76" spans="1:9" x14ac:dyDescent="0.25">
      <c r="A76">
        <v>74</v>
      </c>
      <c r="B76" s="1">
        <v>46112</v>
      </c>
      <c r="C76" t="s">
        <v>84</v>
      </c>
      <c r="E76" t="s">
        <v>85</v>
      </c>
      <c r="F76">
        <v>4.95</v>
      </c>
      <c r="G76">
        <v>3</v>
      </c>
      <c r="H76">
        <v>7.03</v>
      </c>
      <c r="I76">
        <f t="shared" si="0"/>
        <v>21.880000000000003</v>
      </c>
    </row>
    <row r="77" spans="1:9" x14ac:dyDescent="0.25">
      <c r="A77">
        <v>75</v>
      </c>
      <c r="B77" s="1">
        <v>46116</v>
      </c>
      <c r="C77" t="s">
        <v>88</v>
      </c>
      <c r="E77" t="s">
        <v>23</v>
      </c>
      <c r="F77">
        <v>14.99</v>
      </c>
      <c r="G77">
        <v>1</v>
      </c>
      <c r="I77">
        <f t="shared" si="0"/>
        <v>14.99</v>
      </c>
    </row>
    <row r="78" spans="1:9" x14ac:dyDescent="0.25">
      <c r="A78">
        <v>76</v>
      </c>
      <c r="B78" s="1">
        <v>46128</v>
      </c>
      <c r="C78" t="s">
        <v>89</v>
      </c>
      <c r="E78" t="s">
        <v>90</v>
      </c>
      <c r="G78">
        <v>1</v>
      </c>
      <c r="H78">
        <v>19.43</v>
      </c>
      <c r="I78">
        <f t="shared" si="0"/>
        <v>19.43</v>
      </c>
    </row>
    <row r="79" spans="1:9" x14ac:dyDescent="0.25">
      <c r="A79">
        <v>77</v>
      </c>
      <c r="B79" s="1">
        <v>46153</v>
      </c>
      <c r="C79" t="s">
        <v>69</v>
      </c>
      <c r="E79" t="s">
        <v>23</v>
      </c>
      <c r="F79">
        <v>9.99</v>
      </c>
      <c r="G79">
        <v>1</v>
      </c>
      <c r="H79">
        <v>0</v>
      </c>
      <c r="I79">
        <f t="shared" si="0"/>
        <v>9.99</v>
      </c>
    </row>
    <row r="80" spans="1:9" x14ac:dyDescent="0.25">
      <c r="A80">
        <v>78</v>
      </c>
      <c r="B80" s="1">
        <v>46190</v>
      </c>
      <c r="C80" t="s">
        <v>91</v>
      </c>
      <c r="E80" t="s">
        <v>23</v>
      </c>
      <c r="F80">
        <v>11.99</v>
      </c>
      <c r="G80">
        <v>1</v>
      </c>
      <c r="I80">
        <f t="shared" si="0"/>
        <v>11.99</v>
      </c>
    </row>
    <row r="81" spans="1:9" x14ac:dyDescent="0.25">
      <c r="A81">
        <v>79</v>
      </c>
      <c r="B81" s="1">
        <v>46219</v>
      </c>
      <c r="C81" t="s">
        <v>92</v>
      </c>
      <c r="E81" t="s">
        <v>23</v>
      </c>
      <c r="F81">
        <v>7.49</v>
      </c>
      <c r="G81">
        <v>1</v>
      </c>
      <c r="I81">
        <f t="shared" ref="I81:I92" si="1">F81*G81+H81</f>
        <v>7.49</v>
      </c>
    </row>
    <row r="82" spans="1:9" x14ac:dyDescent="0.25">
      <c r="A82">
        <v>80</v>
      </c>
      <c r="B82" s="1">
        <v>46219</v>
      </c>
      <c r="C82" t="s">
        <v>93</v>
      </c>
      <c r="E82" t="s">
        <v>23</v>
      </c>
      <c r="F82">
        <v>6.99</v>
      </c>
      <c r="G82">
        <v>1</v>
      </c>
      <c r="I82">
        <f t="shared" si="1"/>
        <v>6.99</v>
      </c>
    </row>
    <row r="83" spans="1:9" x14ac:dyDescent="0.25">
      <c r="A83">
        <v>81</v>
      </c>
      <c r="B83" s="1">
        <v>46219</v>
      </c>
      <c r="C83" t="s">
        <v>94</v>
      </c>
      <c r="E83" t="s">
        <v>95</v>
      </c>
      <c r="F83">
        <v>4.9000000000000004</v>
      </c>
      <c r="G83">
        <v>10</v>
      </c>
      <c r="H83">
        <v>12</v>
      </c>
      <c r="I83">
        <f t="shared" si="1"/>
        <v>61</v>
      </c>
    </row>
    <row r="84" spans="1:9" x14ac:dyDescent="0.25">
      <c r="A84">
        <v>82</v>
      </c>
      <c r="B84" s="1"/>
      <c r="I84">
        <f t="shared" si="1"/>
        <v>0</v>
      </c>
    </row>
    <row r="85" spans="1:9" x14ac:dyDescent="0.25">
      <c r="A85">
        <v>83</v>
      </c>
      <c r="B85" s="1"/>
      <c r="I85">
        <f t="shared" si="1"/>
        <v>0</v>
      </c>
    </row>
    <row r="86" spans="1:9" x14ac:dyDescent="0.25">
      <c r="A86">
        <v>84</v>
      </c>
      <c r="B86" s="1"/>
      <c r="I86">
        <f t="shared" si="1"/>
        <v>0</v>
      </c>
    </row>
    <row r="87" spans="1:9" x14ac:dyDescent="0.25">
      <c r="A87">
        <v>85</v>
      </c>
      <c r="I87">
        <f t="shared" si="1"/>
        <v>0</v>
      </c>
    </row>
    <row r="88" spans="1:9" x14ac:dyDescent="0.25">
      <c r="A88">
        <v>86</v>
      </c>
      <c r="I88">
        <f t="shared" si="1"/>
        <v>0</v>
      </c>
    </row>
    <row r="89" spans="1:9" x14ac:dyDescent="0.25">
      <c r="A89">
        <v>87</v>
      </c>
      <c r="I89">
        <f t="shared" si="1"/>
        <v>0</v>
      </c>
    </row>
    <row r="90" spans="1:9" x14ac:dyDescent="0.25">
      <c r="A90">
        <v>88</v>
      </c>
      <c r="I90">
        <f t="shared" si="1"/>
        <v>0</v>
      </c>
    </row>
    <row r="91" spans="1:9" x14ac:dyDescent="0.25">
      <c r="A91">
        <v>89</v>
      </c>
      <c r="I91">
        <f t="shared" si="1"/>
        <v>0</v>
      </c>
    </row>
    <row r="92" spans="1:9" x14ac:dyDescent="0.25">
      <c r="A92">
        <v>90</v>
      </c>
      <c r="I92">
        <f t="shared" si="1"/>
        <v>0</v>
      </c>
    </row>
    <row r="93" spans="1:9" x14ac:dyDescent="0.25">
      <c r="A93">
        <v>91</v>
      </c>
    </row>
  </sheetData>
  <sortState xmlns:xlrd2="http://schemas.microsoft.com/office/spreadsheetml/2017/richdata2" ref="B3:H74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Martin</dc:creator>
  <cp:lastModifiedBy>Kirk Martin</cp:lastModifiedBy>
  <dcterms:created xsi:type="dcterms:W3CDTF">2026-03-30T14:00:38Z</dcterms:created>
  <dcterms:modified xsi:type="dcterms:W3CDTF">2026-09-01T19:13:30Z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802dc3-9e49-49f5-9ed8-1d55c913925a_Enabled">
    <vt:lpwstr>true</vt:lpwstr>
  </property>
  <property fmtid="{D5CDD505-2E9C-101B-9397-08002B2CF9AE}" pid="3" name="MSIP_Label_0b802dc3-9e49-49f5-9ed8-1d55c913925a_SetDate">
    <vt:lpwstr>2026-07-08T14:26:45Z</vt:lpwstr>
  </property>
  <property fmtid="{D5CDD505-2E9C-101B-9397-08002B2CF9AE}" pid="4" name="MSIP_Label_0b802dc3-9e49-49f5-9ed8-1d55c913925a_Method">
    <vt:lpwstr>Privileged</vt:lpwstr>
  </property>
  <property fmtid="{D5CDD505-2E9C-101B-9397-08002B2CF9AE}" pid="5" name="MSIP_Label_0b802dc3-9e49-49f5-9ed8-1d55c913925a_Name">
    <vt:lpwstr>Public</vt:lpwstr>
  </property>
  <property fmtid="{D5CDD505-2E9C-101B-9397-08002B2CF9AE}" pid="6" name="MSIP_Label_0b802dc3-9e49-49f5-9ed8-1d55c913925a_SiteId">
    <vt:lpwstr>3d860a84-424d-44f9-ab2b-c61a036b4904</vt:lpwstr>
  </property>
  <property fmtid="{D5CDD505-2E9C-101B-9397-08002B2CF9AE}" pid="7" name="MSIP_Label_0b802dc3-9e49-49f5-9ed8-1d55c913925a_ActionId">
    <vt:lpwstr>1a30ad50-640a-4d8e-9f3d-063136fba876</vt:lpwstr>
  </property>
  <property fmtid="{D5CDD505-2E9C-101B-9397-08002B2CF9AE}" pid="8" name="MSIP_Label_0b802dc3-9e49-49f5-9ed8-1d55c913925a_ContentBits">
    <vt:lpwstr>0</vt:lpwstr>
  </property>
  <property fmtid="{D5CDD505-2E9C-101B-9397-08002B2CF9AE}" pid="9" name="MSIP_Label_0b802dc3-9e49-49f5-9ed8-1d55c913925a_Tag">
    <vt:lpwstr>10, 0, 1, 1</vt:lpwstr>
  </property>
</Properties>
</file>